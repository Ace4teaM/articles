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Y:\articles\Cyber\"/>
    </mc:Choice>
  </mc:AlternateContent>
  <xr:revisionPtr revIDLastSave="0" documentId="13_ncr:1_{C96EEA70-12DE-4135-9D5A-A59FD66AA5E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chelle" sheetId="1" r:id="rId1"/>
    <sheet name="hosts" sheetId="2" r:id="rId2"/>
    <sheet name="procs1" sheetId="3" r:id="rId3"/>
    <sheet name="procs2" sheetId="4" r:id="rId4"/>
    <sheet name="solutions" sheetId="5" r:id="rId5"/>
  </sheets>
  <calcPr calcId="191029"/>
  <extLst>
    <ext uri="GoogleSheetsCustomDataVersion2">
      <go:sheetsCustomData xmlns:go="http://customooxmlschemas.google.com/" r:id="rId9" roundtripDataChecksum="AjUbVbeChiAJD/nXOl8tOnrtQbB4OnGBzpUb31fXLqE="/>
    </ext>
  </extLst>
</workbook>
</file>

<file path=xl/calcChain.xml><?xml version="1.0" encoding="utf-8"?>
<calcChain xmlns="http://schemas.openxmlformats.org/spreadsheetml/2006/main">
  <c r="E23" i="5" l="1"/>
  <c r="I15" i="4"/>
  <c r="H10" i="2"/>
  <c r="G10" i="2"/>
  <c r="F10" i="2"/>
  <c r="E10" i="2"/>
  <c r="D10" i="2"/>
  <c r="C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<sst xmlns="http://schemas.openxmlformats.org/spreadsheetml/2006/main" count="212" uniqueCount="154">
  <si>
    <t>intervalle</t>
  </si>
  <si>
    <t xml:space="preserve">maturité / efficacité </t>
  </si>
  <si>
    <t>0-1</t>
  </si>
  <si>
    <t xml:space="preserve">inexistence ou inefficacité </t>
  </si>
  <si>
    <t>1-2</t>
  </si>
  <si>
    <t>existence avec efficacité limitée</t>
  </si>
  <si>
    <t>2-3</t>
  </si>
  <si>
    <t>existence avec automatisation</t>
  </si>
  <si>
    <t>3-4</t>
  </si>
  <si>
    <t>action automatisée et mesurée: reporting</t>
  </si>
  <si>
    <t>4-5</t>
  </si>
  <si>
    <t>action mesurée avec notification et suivi post-alert</t>
  </si>
  <si>
    <t>CONFIGURATIONS / OPERATIONS</t>
  </si>
  <si>
    <t>V</t>
  </si>
  <si>
    <t>N</t>
  </si>
  <si>
    <t>NOM</t>
  </si>
  <si>
    <t>MISE A JOUR</t>
  </si>
  <si>
    <t>ANTI-MALWARE</t>
  </si>
  <si>
    <t>HARDENING</t>
  </si>
  <si>
    <t>BACKUP/HA</t>
  </si>
  <si>
    <t>MONITORING</t>
  </si>
  <si>
    <t>LOGS</t>
  </si>
  <si>
    <t>1</t>
  </si>
  <si>
    <t>Server 1</t>
  </si>
  <si>
    <t>2</t>
  </si>
  <si>
    <t>Server 2</t>
  </si>
  <si>
    <t>3</t>
  </si>
  <si>
    <t>Server 3</t>
  </si>
  <si>
    <t>4</t>
  </si>
  <si>
    <t>Server 4</t>
  </si>
  <si>
    <t>5</t>
  </si>
  <si>
    <t>action mesurée avec notification et suivi</t>
  </si>
  <si>
    <t>Server 5</t>
  </si>
  <si>
    <t>Server 6</t>
  </si>
  <si>
    <t>Server 7</t>
  </si>
  <si>
    <t>Total</t>
  </si>
  <si>
    <t>PROCESS</t>
  </si>
  <si>
    <t>DESCRIPTION</t>
  </si>
  <si>
    <t>EXISTE (O/N)</t>
  </si>
  <si>
    <t>NOTES</t>
  </si>
  <si>
    <t>Patch Management</t>
  </si>
  <si>
    <t>Application des correctifs</t>
  </si>
  <si>
    <t>Configuration Management</t>
  </si>
  <si>
    <t>Maitenance préventive</t>
  </si>
  <si>
    <t>O</t>
  </si>
  <si>
    <t>Change  Management</t>
  </si>
  <si>
    <t>Traçabilité des changements, Plate forme de test,…</t>
  </si>
  <si>
    <t>Authorisations Management</t>
  </si>
  <si>
    <t>Attribution des profils et des accès</t>
  </si>
  <si>
    <t>Monitoring Management</t>
  </si>
  <si>
    <t>Suivi: connexions, sessions, ressources, temps de réponse</t>
  </si>
  <si>
    <t>Log Management</t>
  </si>
  <si>
    <t>Centralisation, Analyse, Détection, Corrélation</t>
  </si>
  <si>
    <t>Incidents Management</t>
  </si>
  <si>
    <t>Historique des incidents, traitement des incidents</t>
  </si>
  <si>
    <t>Backup Management</t>
  </si>
  <si>
    <t>Suivi des opérations de backup, taille des espaces de stockage</t>
  </si>
  <si>
    <t>DRP Management</t>
  </si>
  <si>
    <t>Tests des restaurations, RPO/RTO,MTD</t>
  </si>
  <si>
    <t>HA Management</t>
  </si>
  <si>
    <t>Clustering, Remote Journaling</t>
  </si>
  <si>
    <t>CATEGORIE</t>
  </si>
  <si>
    <t>TYPE SOLUTIONS</t>
  </si>
  <si>
    <t>MATURITE</t>
  </si>
  <si>
    <t>PREVENTIVE</t>
  </si>
  <si>
    <t>Scan de vulnérabilités</t>
  </si>
  <si>
    <t>openvas, wapiti, nuclei</t>
  </si>
  <si>
    <t>nessus</t>
  </si>
  <si>
    <t>Config Hardening Server</t>
  </si>
  <si>
    <t>CIS CAT Benchmark, Ansible, OCS</t>
  </si>
  <si>
    <t>Nessus, SCCM, WAPT (Télédeploiement)</t>
  </si>
  <si>
    <t>Malware  Management</t>
  </si>
  <si>
    <t>HIDS, MALWARE-NG, EDR</t>
  </si>
  <si>
    <t>WAZUH XDR</t>
  </si>
  <si>
    <t>ESET, Sophos, Trend</t>
  </si>
  <si>
    <t>IDM, DLP, PAM</t>
  </si>
  <si>
    <t>KEYLOAK, Open IAM</t>
  </si>
  <si>
    <t>MS Azure, WALLIX</t>
  </si>
  <si>
    <t>TELE MAINTENANCE</t>
  </si>
  <si>
    <t>Admin à distance</t>
  </si>
  <si>
    <t>rustdesk, tiger vnc, tactical rmm</t>
  </si>
  <si>
    <t>TeamViewer, AnyDesk</t>
  </si>
  <si>
    <t>NETWORK ACCESS</t>
  </si>
  <si>
    <t>Filtrage, Analyse, IDS, WAF</t>
  </si>
  <si>
    <t>pfsens, opensens, ntopg, snort, suricata, haxproxy</t>
  </si>
  <si>
    <t>Fortigate, Cisco</t>
  </si>
  <si>
    <t>DETECTIVE</t>
  </si>
  <si>
    <t>Solution de supervision</t>
  </si>
  <si>
    <t>ZABBIX, Grafana, Checkmk</t>
  </si>
  <si>
    <t>Manage Engine</t>
  </si>
  <si>
    <t>Log Management Server</t>
  </si>
  <si>
    <t>ELK, WAZUH, GRAYLOG</t>
  </si>
  <si>
    <t>DarkTrace, Splunk, Qradar</t>
  </si>
  <si>
    <t>GLPI, JIRA</t>
  </si>
  <si>
    <t>Manage Engine, ServiceNow</t>
  </si>
  <si>
    <t>REACTIVE</t>
  </si>
  <si>
    <t>Backup Management Server</t>
  </si>
  <si>
    <t xml:space="preserve">Duplicati, </t>
  </si>
  <si>
    <t>BackupExec, Veeam Backup, Acronis</t>
  </si>
  <si>
    <t>BPM DRP Management</t>
  </si>
  <si>
    <t>BPM Sec Ops, nextcloud collabora, own cloud</t>
  </si>
  <si>
    <t>Sharepoint, MS onedrive</t>
  </si>
  <si>
    <t>Clustering, Hyper Convergence</t>
  </si>
  <si>
    <t>proxmox, xen</t>
  </si>
  <si>
    <t>VM Ware ESXI, Hyepr V</t>
  </si>
  <si>
    <t>action automatisée et mesurée</t>
  </si>
  <si>
    <t>SOLUTION</t>
  </si>
  <si>
    <t>IMPLEMENTATION</t>
  </si>
  <si>
    <t>PATCH MANAGEMENT</t>
  </si>
  <si>
    <t xml:space="preserve">MIGRATION EOS </t>
  </si>
  <si>
    <t>PATCH MANAGEMENT / TELE-DEPLOIMENT</t>
  </si>
  <si>
    <t>ACCESS MANAGEMENT</t>
  </si>
  <si>
    <t>RAMS: REMOTE ADMIN</t>
  </si>
  <si>
    <t>BACKUP MANAGGEMENT</t>
  </si>
  <si>
    <t xml:space="preserve">BACKUP MANAGEMENT </t>
  </si>
  <si>
    <t xml:space="preserve"> DMZ/ IPS/WAF / DDOS</t>
  </si>
  <si>
    <t>VIRTUALISATION MANAGEMENT</t>
  </si>
  <si>
    <t xml:space="preserve"> VIRTUALISATION / HYPER CONVERGENCE</t>
  </si>
  <si>
    <t>CONFIG MANAGEMENT</t>
  </si>
  <si>
    <t>ADMINISTRATIION CENTR DOMAINE HARDENING</t>
  </si>
  <si>
    <t>COMMUNICATION MANAGEMENT</t>
  </si>
  <si>
    <t xml:space="preserve"> UTM: UNIFIED THREAT MANAGEMENT</t>
  </si>
  <si>
    <t>SEC-OPS MANAGEMENT</t>
  </si>
  <si>
    <t xml:space="preserve">  SOC/ BPM SOC</t>
  </si>
  <si>
    <t>INCIDENTS MANAGEMENT</t>
  </si>
  <si>
    <t xml:space="preserve"> INCIDENTS MANAGEMENT SOLUTION</t>
  </si>
  <si>
    <t>ASSETS MANAGEMENT</t>
  </si>
  <si>
    <t xml:space="preserve"> ITAMS: IT ASSETS MANAGEMENT</t>
  </si>
  <si>
    <t xml:space="preserve"> HELP DESK</t>
  </si>
  <si>
    <t>PAM: PRIVILEGED ACCESS MANGEMENT</t>
  </si>
  <si>
    <t xml:space="preserve"> ANTI DLP: DATA LEAKAGE PREVENTION</t>
  </si>
  <si>
    <t>COLLABORATION MANAGEMENT</t>
  </si>
  <si>
    <t xml:space="preserve">PRIVATE CLOUD  </t>
  </si>
  <si>
    <t>MONITORING MANAGEMENT</t>
  </si>
  <si>
    <t xml:space="preserve"> MONITORING/SUPERVISION</t>
  </si>
  <si>
    <t>LOGS MANAGEMENT</t>
  </si>
  <si>
    <t xml:space="preserve">LOGS / SIEM </t>
  </si>
  <si>
    <t xml:space="preserve"> CYBER FRAMEWORK / MDM</t>
  </si>
  <si>
    <t>CONTINUITY MANAGEMENT</t>
  </si>
  <si>
    <t xml:space="preserve"> CLUSTERING, HA, DRP</t>
  </si>
  <si>
    <t>MALWARE MANAGEMENT</t>
  </si>
  <si>
    <t>ANTI-MALWARE NG</t>
  </si>
  <si>
    <t>OPEN</t>
  </si>
  <si>
    <t>PROPRIETIAIRE</t>
  </si>
  <si>
    <t>En Place</t>
  </si>
  <si>
    <t>PRTG</t>
  </si>
  <si>
    <t>HELP DESK &amp; Gestion Incidents</t>
  </si>
  <si>
    <t>TightVNC</t>
  </si>
  <si>
    <t>Fortigate</t>
  </si>
  <si>
    <t>InventaireMateriel (SpecDev)</t>
  </si>
  <si>
    <t>VM Ware ESXI - U4
Hyepr V - U3</t>
  </si>
  <si>
    <t>Sharepoint (IT)</t>
  </si>
  <si>
    <t>Veeam Backup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</si>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</sst>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name val="Calibri"/>
    </font>
    <font>
      <sz val="10"/>
      <color theme="1"/>
      <name val="Calibri"/>
    </font>
    <font>
      <b/>
      <sz val="9"/>
      <color theme="1"/>
      <name val="Calibri"/>
    </font>
    <font>
      <sz val="9"/>
      <color theme="1"/>
      <name val="Calibri"/>
    </font>
    <font>
      <sz val="10"/>
      <color rgb="FF000000"/>
      <name val="Calibri"/>
    </font>
    <font>
      <b/>
      <sz val="10"/>
      <color theme="1"/>
      <name val="Calibri"/>
    </font>
    <font>
      <sz val="8"/>
      <color theme="1"/>
      <name val="Arial"/>
    </font>
    <font>
      <sz val="10"/>
      <color theme="1"/>
      <name val="Arial"/>
    </font>
    <font>
      <b/>
      <sz val="10"/>
      <color theme="0"/>
      <name val="Calibri"/>
    </font>
    <font>
      <b/>
      <sz val="9"/>
      <color rgb="FFFFFFFF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8080"/>
        <bgColor rgb="FFFF8080"/>
      </patternFill>
    </fill>
    <fill>
      <patternFill patternType="solid">
        <fgColor rgb="FFFFCC00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rgb="FF99CC00"/>
        <bgColor rgb="FF99CC0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theme="0"/>
        <bgColor theme="0"/>
      </patternFill>
    </fill>
    <fill>
      <patternFill patternType="solid">
        <fgColor rgb="FF76923C"/>
        <bgColor rgb="FF76923C"/>
      </patternFill>
    </fill>
    <fill>
      <patternFill patternType="solid">
        <fgColor rgb="FFE36C09"/>
        <bgColor rgb="FFE36C09"/>
      </patternFill>
    </fill>
    <fill>
      <patternFill patternType="solid">
        <fgColor rgb="FFFF0000"/>
        <bgColor rgb="FFFF0000"/>
      </patternFill>
    </fill>
    <fill>
      <patternFill patternType="solid">
        <fgColor rgb="FF003366"/>
        <bgColor rgb="FF003366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" fontId="8" fillId="10" borderId="1" xfId="0" applyNumberFormat="1" applyFont="1" applyFill="1" applyBorder="1" applyAlignment="1">
      <alignment horizontal="center" vertical="center"/>
    </xf>
    <xf numFmtId="2" fontId="8" fillId="1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9" fillId="0" borderId="0" xfId="0" applyFont="1"/>
    <xf numFmtId="0" fontId="7" fillId="11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2" fillId="15" borderId="6" xfId="0" applyFont="1" applyFill="1" applyBorder="1" applyAlignment="1">
      <alignment horizontal="center" vertical="center" wrapText="1"/>
    </xf>
    <xf numFmtId="0" fontId="12" fillId="15" borderId="7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/>
    <xf numFmtId="0" fontId="1" fillId="8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23">
    <dxf>
      <fill>
        <patternFill patternType="solid">
          <fgColor rgb="FF99CC00"/>
          <bgColor rgb="FF99CC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8DB3E2"/>
          <bgColor rgb="FF8DB3E2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8DB3E2"/>
          <bgColor rgb="FF8DB3E2"/>
        </patternFill>
      </fill>
    </dxf>
    <dxf>
      <fill>
        <patternFill patternType="none"/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8DB3E2"/>
          <bgColor rgb="FF8DB3E2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8DB3E2"/>
          <bgColor rgb="FF8DB3E2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spPr>
            <a:solidFill>
              <a:srgbClr val="66669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hosts!$C$2:$H$2</c:f>
              <c:strCache>
                <c:ptCount val="6"/>
                <c:pt idx="0">
                  <c:v>MISE A JOUR</c:v>
                </c:pt>
                <c:pt idx="1">
                  <c:v>ANTI-MALWARE</c:v>
                </c:pt>
                <c:pt idx="2">
                  <c:v>HARDENING</c:v>
                </c:pt>
                <c:pt idx="3">
                  <c:v>BACKUP/HA</c:v>
                </c:pt>
                <c:pt idx="4">
                  <c:v>MONITORING</c:v>
                </c:pt>
                <c:pt idx="5">
                  <c:v>LOGS</c:v>
                </c:pt>
              </c:strCache>
            </c:strRef>
          </c:cat>
          <c:val>
            <c:numRef>
              <c:f>hosts!$C$10:$H$10</c:f>
              <c:numCache>
                <c:formatCode>0.00</c:formatCode>
                <c:ptCount val="6"/>
                <c:pt idx="0">
                  <c:v>3.4285714285714284</c:v>
                </c:pt>
                <c:pt idx="1">
                  <c:v>3.7142857142857144</c:v>
                </c:pt>
                <c:pt idx="2">
                  <c:v>3</c:v>
                </c:pt>
                <c:pt idx="3">
                  <c:v>3.7142857142857144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F5D-48BA-A887-CDD5E16E9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3227382"/>
        <c:axId val="455990862"/>
      </c:barChart>
      <c:catAx>
        <c:axId val="55322738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455990862"/>
        <c:crosses val="autoZero"/>
        <c:auto val="1"/>
        <c:lblAlgn val="ctr"/>
        <c:lblOffset val="100"/>
        <c:noMultiLvlLbl val="1"/>
      </c:catAx>
      <c:valAx>
        <c:axId val="4559908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3227382"/>
        <c:crosses val="max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12</xdr:row>
      <xdr:rowOff>0</xdr:rowOff>
    </xdr:from>
    <xdr:ext cx="5476875" cy="2609850"/>
    <xdr:graphicFrame macro="">
      <xdr:nvGraphicFramePr>
        <xdr:cNvPr id="409379483" name="Chart 1" descr="Chart 0">
          <a:extLst>
            <a:ext uri="{FF2B5EF4-FFF2-40B4-BE49-F238E27FC236}">
              <a16:creationId xmlns:a16="http://schemas.microsoft.com/office/drawing/2014/main" id="{00000000-0008-0000-0100-00009BA266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000"/>
  <sheetViews>
    <sheetView workbookViewId="0"/>
  </sheetViews>
  <sheetFormatPr baseColWidth="10" defaultColWidth="14.42578125" defaultRowHeight="15" customHeight="1" x14ac:dyDescent="0.2"/>
  <cols>
    <col min="1" max="1" width="8" customWidth="1"/>
    <col min="2" max="2" width="10" customWidth="1"/>
    <col min="3" max="3" width="47" customWidth="1"/>
    <col min="4" max="6" width="11.42578125" customWidth="1"/>
    <col min="7" max="26" width="8" customWidth="1"/>
  </cols>
  <sheetData>
    <row r="1" spans="2:3" ht="12.75" customHeight="1" x14ac:dyDescent="0.2"/>
    <row r="2" spans="2:3" ht="15" customHeight="1" x14ac:dyDescent="0.2">
      <c r="B2" s="1" t="s">
        <v>0</v>
      </c>
      <c r="C2" s="1" t="s">
        <v>1</v>
      </c>
    </row>
    <row r="3" spans="2:3" ht="15" customHeight="1" x14ac:dyDescent="0.2">
      <c r="B3" s="2" t="s">
        <v>2</v>
      </c>
      <c r="C3" s="3" t="s">
        <v>3</v>
      </c>
    </row>
    <row r="4" spans="2:3" ht="15" customHeight="1" x14ac:dyDescent="0.2">
      <c r="B4" s="4" t="s">
        <v>4</v>
      </c>
      <c r="C4" s="3" t="s">
        <v>5</v>
      </c>
    </row>
    <row r="5" spans="2:3" ht="15" customHeight="1" x14ac:dyDescent="0.2">
      <c r="B5" s="5" t="s">
        <v>6</v>
      </c>
      <c r="C5" s="3" t="s">
        <v>7</v>
      </c>
    </row>
    <row r="6" spans="2:3" ht="15" customHeight="1" x14ac:dyDescent="0.2">
      <c r="B6" s="6" t="s">
        <v>8</v>
      </c>
      <c r="C6" s="3" t="s">
        <v>9</v>
      </c>
    </row>
    <row r="7" spans="2:3" ht="15" customHeight="1" x14ac:dyDescent="0.2">
      <c r="B7" s="7" t="s">
        <v>10</v>
      </c>
      <c r="C7" s="3" t="s">
        <v>11</v>
      </c>
    </row>
    <row r="8" spans="2:3" ht="12.75" customHeight="1" x14ac:dyDescent="0.2"/>
    <row r="9" spans="2:3" ht="12.75" customHeight="1" x14ac:dyDescent="0.2"/>
    <row r="10" spans="2:3" ht="12.75" customHeight="1" x14ac:dyDescent="0.2"/>
    <row r="11" spans="2:3" ht="12.75" customHeight="1" x14ac:dyDescent="0.2"/>
    <row r="12" spans="2:3" ht="12.75" customHeight="1" x14ac:dyDescent="0.2"/>
    <row r="13" spans="2:3" ht="12.75" customHeight="1" x14ac:dyDescent="0.2"/>
    <row r="14" spans="2:3" ht="12.75" customHeight="1" x14ac:dyDescent="0.2"/>
    <row r="15" spans="2:3" ht="12.75" customHeight="1" x14ac:dyDescent="0.2"/>
    <row r="16" spans="2:3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/>
  </sheetViews>
  <sheetFormatPr baseColWidth="10" defaultColWidth="14.42578125" defaultRowHeight="15" customHeight="1" x14ac:dyDescent="0.2"/>
  <cols>
    <col min="1" max="1" width="3.42578125" customWidth="1"/>
    <col min="2" max="3" width="12.5703125" customWidth="1"/>
    <col min="4" max="4" width="15.42578125" customWidth="1"/>
    <col min="5" max="5" width="11.85546875" customWidth="1"/>
    <col min="6" max="6" width="12.140625" customWidth="1"/>
    <col min="7" max="7" width="14.140625" customWidth="1"/>
    <col min="8" max="9" width="6.42578125" customWidth="1"/>
    <col min="10" max="10" width="4.140625" customWidth="1"/>
    <col min="11" max="11" width="2.7109375" customWidth="1"/>
    <col min="12" max="12" width="34" customWidth="1"/>
    <col min="13" max="26" width="8" customWidth="1"/>
  </cols>
  <sheetData>
    <row r="1" spans="1:12" ht="15.75" customHeight="1" x14ac:dyDescent="0.25">
      <c r="A1" s="8"/>
      <c r="B1" s="8"/>
      <c r="C1" s="34" t="s">
        <v>12</v>
      </c>
      <c r="D1" s="35"/>
      <c r="E1" s="35"/>
      <c r="F1" s="35"/>
      <c r="G1" s="35"/>
      <c r="H1" s="36"/>
      <c r="I1" s="9"/>
      <c r="K1" s="1" t="s">
        <v>13</v>
      </c>
      <c r="L1" s="10" t="s">
        <v>1</v>
      </c>
    </row>
    <row r="2" spans="1:12" ht="15.75" customHeight="1" x14ac:dyDescent="0.2">
      <c r="A2" s="11" t="s">
        <v>14</v>
      </c>
      <c r="B2" s="11" t="s">
        <v>15</v>
      </c>
      <c r="C2" s="11" t="s">
        <v>16</v>
      </c>
      <c r="D2" s="11" t="s">
        <v>17</v>
      </c>
      <c r="E2" s="11" t="s">
        <v>18</v>
      </c>
      <c r="F2" s="11" t="s">
        <v>19</v>
      </c>
      <c r="G2" s="11" t="s">
        <v>20</v>
      </c>
      <c r="H2" s="11" t="s">
        <v>21</v>
      </c>
      <c r="I2" s="9"/>
      <c r="K2" s="2" t="s">
        <v>22</v>
      </c>
      <c r="L2" s="12" t="s">
        <v>3</v>
      </c>
    </row>
    <row r="3" spans="1:12" ht="21.75" customHeight="1" x14ac:dyDescent="0.2">
      <c r="A3" s="13">
        <v>1</v>
      </c>
      <c r="B3" s="14" t="s">
        <v>23</v>
      </c>
      <c r="C3" s="15">
        <v>4</v>
      </c>
      <c r="D3" s="15">
        <v>4</v>
      </c>
      <c r="E3" s="15">
        <v>3</v>
      </c>
      <c r="F3" s="15">
        <v>4</v>
      </c>
      <c r="G3" s="15">
        <v>3</v>
      </c>
      <c r="H3" s="15">
        <v>2</v>
      </c>
      <c r="I3" s="16">
        <f t="shared" ref="I3:I9" si="0">AVERAGE(C3:H3)</f>
        <v>3.3333333333333335</v>
      </c>
      <c r="K3" s="4" t="s">
        <v>24</v>
      </c>
      <c r="L3" s="12" t="s">
        <v>5</v>
      </c>
    </row>
    <row r="4" spans="1:12" ht="21.75" customHeight="1" x14ac:dyDescent="0.2">
      <c r="A4" s="13">
        <v>2</v>
      </c>
      <c r="B4" s="14" t="s">
        <v>25</v>
      </c>
      <c r="C4" s="15">
        <v>4</v>
      </c>
      <c r="D4" s="15">
        <v>4</v>
      </c>
      <c r="E4" s="15">
        <v>3</v>
      </c>
      <c r="F4" s="15">
        <v>4</v>
      </c>
      <c r="G4" s="15">
        <v>3</v>
      </c>
      <c r="H4" s="15">
        <v>2</v>
      </c>
      <c r="I4" s="16">
        <f t="shared" si="0"/>
        <v>3.3333333333333335</v>
      </c>
      <c r="K4" s="5" t="s">
        <v>26</v>
      </c>
      <c r="L4" s="12" t="s">
        <v>7</v>
      </c>
    </row>
    <row r="5" spans="1:12" ht="21.75" customHeight="1" x14ac:dyDescent="0.2">
      <c r="A5" s="13">
        <v>3</v>
      </c>
      <c r="B5" s="14" t="s">
        <v>27</v>
      </c>
      <c r="C5" s="15">
        <v>2</v>
      </c>
      <c r="D5" s="15">
        <v>4</v>
      </c>
      <c r="E5" s="15">
        <v>3</v>
      </c>
      <c r="F5" s="15">
        <v>4</v>
      </c>
      <c r="G5" s="15">
        <v>3</v>
      </c>
      <c r="H5" s="15">
        <v>2</v>
      </c>
      <c r="I5" s="16">
        <f t="shared" si="0"/>
        <v>3</v>
      </c>
      <c r="K5" s="6" t="s">
        <v>28</v>
      </c>
      <c r="L5" s="12" t="s">
        <v>9</v>
      </c>
    </row>
    <row r="6" spans="1:12" ht="21.75" customHeight="1" x14ac:dyDescent="0.2">
      <c r="A6" s="13">
        <v>4</v>
      </c>
      <c r="B6" s="14" t="s">
        <v>29</v>
      </c>
      <c r="C6" s="15">
        <v>4</v>
      </c>
      <c r="D6" s="15">
        <v>2</v>
      </c>
      <c r="E6" s="15">
        <v>3</v>
      </c>
      <c r="F6" s="15">
        <v>2</v>
      </c>
      <c r="G6" s="15">
        <v>3</v>
      </c>
      <c r="H6" s="15">
        <v>2</v>
      </c>
      <c r="I6" s="16">
        <f t="shared" si="0"/>
        <v>2.6666666666666665</v>
      </c>
      <c r="K6" s="7" t="s">
        <v>30</v>
      </c>
      <c r="L6" s="12" t="s">
        <v>31</v>
      </c>
    </row>
    <row r="7" spans="1:12" ht="21.75" customHeight="1" x14ac:dyDescent="0.2">
      <c r="A7" s="13">
        <v>5</v>
      </c>
      <c r="B7" s="14" t="s">
        <v>32</v>
      </c>
      <c r="C7" s="15">
        <v>2</v>
      </c>
      <c r="D7" s="15">
        <v>4</v>
      </c>
      <c r="E7" s="15">
        <v>3</v>
      </c>
      <c r="F7" s="15">
        <v>4</v>
      </c>
      <c r="G7" s="15">
        <v>3</v>
      </c>
      <c r="H7" s="15">
        <v>2</v>
      </c>
      <c r="I7" s="16">
        <f t="shared" si="0"/>
        <v>3</v>
      </c>
    </row>
    <row r="8" spans="1:12" ht="21.75" customHeight="1" x14ac:dyDescent="0.2">
      <c r="A8" s="13">
        <v>6</v>
      </c>
      <c r="B8" s="14" t="s">
        <v>33</v>
      </c>
      <c r="C8" s="15">
        <v>4</v>
      </c>
      <c r="D8" s="15">
        <v>4</v>
      </c>
      <c r="E8" s="15">
        <v>3</v>
      </c>
      <c r="F8" s="15">
        <v>4</v>
      </c>
      <c r="G8" s="15">
        <v>3</v>
      </c>
      <c r="H8" s="15">
        <v>2</v>
      </c>
      <c r="I8" s="16">
        <f t="shared" si="0"/>
        <v>3.3333333333333335</v>
      </c>
    </row>
    <row r="9" spans="1:12" ht="21.75" customHeight="1" x14ac:dyDescent="0.2">
      <c r="A9" s="13">
        <v>7</v>
      </c>
      <c r="B9" s="14" t="s">
        <v>34</v>
      </c>
      <c r="C9" s="15">
        <v>4</v>
      </c>
      <c r="D9" s="15">
        <v>4</v>
      </c>
      <c r="E9" s="15">
        <v>3</v>
      </c>
      <c r="F9" s="15">
        <v>4</v>
      </c>
      <c r="G9" s="15">
        <v>3</v>
      </c>
      <c r="H9" s="15">
        <v>2</v>
      </c>
      <c r="I9" s="16">
        <f t="shared" si="0"/>
        <v>3.3333333333333335</v>
      </c>
    </row>
    <row r="10" spans="1:12" ht="15.75" customHeight="1" x14ac:dyDescent="0.2">
      <c r="A10" s="17"/>
      <c r="B10" s="17" t="s">
        <v>35</v>
      </c>
      <c r="C10" s="16">
        <f t="shared" ref="C10:H10" si="1">AVERAGE(C3:C9)</f>
        <v>3.4285714285714284</v>
      </c>
      <c r="D10" s="16">
        <f t="shared" si="1"/>
        <v>3.7142857142857144</v>
      </c>
      <c r="E10" s="16">
        <f t="shared" si="1"/>
        <v>3</v>
      </c>
      <c r="F10" s="16">
        <f t="shared" si="1"/>
        <v>3.7142857142857144</v>
      </c>
      <c r="G10" s="16">
        <f t="shared" si="1"/>
        <v>3</v>
      </c>
      <c r="H10" s="16">
        <f t="shared" si="1"/>
        <v>2</v>
      </c>
      <c r="I10" s="9"/>
    </row>
    <row r="11" spans="1:12" ht="12.75" customHeight="1" x14ac:dyDescent="0.2">
      <c r="A11" s="9"/>
      <c r="B11" s="9"/>
      <c r="C11" s="9"/>
      <c r="D11" s="9"/>
      <c r="E11" s="9"/>
      <c r="F11" s="9"/>
      <c r="G11" s="9"/>
      <c r="H11" s="9"/>
      <c r="I11" s="9"/>
    </row>
    <row r="12" spans="1:12" ht="12.75" customHeight="1" x14ac:dyDescent="0.2">
      <c r="A12" s="9"/>
      <c r="B12" s="9"/>
      <c r="C12" s="9"/>
      <c r="D12" s="9"/>
      <c r="E12" s="9"/>
      <c r="F12" s="9"/>
      <c r="G12" s="9"/>
      <c r="H12" s="9"/>
      <c r="I12" s="9"/>
    </row>
    <row r="13" spans="1:12" ht="12.75" customHeight="1" x14ac:dyDescent="0.2">
      <c r="B13" s="18"/>
    </row>
    <row r="14" spans="1:12" ht="12.75" customHeight="1" x14ac:dyDescent="0.2">
      <c r="A14" s="19"/>
      <c r="B14" s="20"/>
    </row>
    <row r="15" spans="1:12" ht="12.75" customHeight="1" x14ac:dyDescent="0.2">
      <c r="A15" s="19"/>
      <c r="B15" s="20"/>
    </row>
    <row r="16" spans="1:12" ht="12.75" customHeight="1" x14ac:dyDescent="0.2">
      <c r="A16" s="19"/>
      <c r="B16" s="20"/>
    </row>
    <row r="17" spans="1:2" ht="12.75" customHeight="1" x14ac:dyDescent="0.2">
      <c r="A17" s="19"/>
      <c r="B17" s="20"/>
    </row>
    <row r="18" spans="1:2" ht="12.75" customHeight="1" x14ac:dyDescent="0.2">
      <c r="A18" s="19"/>
      <c r="B18" s="20"/>
    </row>
    <row r="19" spans="1:2" ht="12.75" customHeight="1" x14ac:dyDescent="0.2"/>
    <row r="20" spans="1:2" ht="12.75" customHeight="1" x14ac:dyDescent="0.2"/>
    <row r="21" spans="1:2" ht="12.75" customHeight="1" x14ac:dyDescent="0.2"/>
    <row r="22" spans="1:2" ht="12.75" customHeight="1" x14ac:dyDescent="0.2"/>
    <row r="23" spans="1:2" ht="12.75" customHeight="1" x14ac:dyDescent="0.2"/>
    <row r="24" spans="1:2" ht="12.75" customHeight="1" x14ac:dyDescent="0.2"/>
    <row r="25" spans="1:2" ht="12.75" customHeight="1" x14ac:dyDescent="0.2"/>
    <row r="26" spans="1:2" ht="12.75" customHeight="1" x14ac:dyDescent="0.2"/>
    <row r="27" spans="1:2" ht="12.75" customHeight="1" x14ac:dyDescent="0.2"/>
    <row r="28" spans="1:2" ht="12.75" customHeight="1" x14ac:dyDescent="0.2"/>
    <row r="29" spans="1:2" ht="12.75" customHeight="1" x14ac:dyDescent="0.2"/>
    <row r="30" spans="1:2" ht="12.75" customHeight="1" x14ac:dyDescent="0.2"/>
    <row r="31" spans="1:2" ht="12.75" customHeight="1" x14ac:dyDescent="0.2"/>
    <row r="32" spans="1: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C1:H1"/>
  </mergeCells>
  <conditionalFormatting sqref="B3:B9">
    <cfRule type="expression" dxfId="22" priority="9">
      <formula>$A$35</formula>
    </cfRule>
  </conditionalFormatting>
  <conditionalFormatting sqref="C3:H9">
    <cfRule type="cellIs" dxfId="21" priority="13" operator="between">
      <formula>4</formula>
      <formula>5</formula>
    </cfRule>
  </conditionalFormatting>
  <conditionalFormatting sqref="C10:H10">
    <cfRule type="cellIs" dxfId="20" priority="1" operator="between">
      <formula>3</formula>
      <formula>3.99</formula>
    </cfRule>
    <cfRule type="cellIs" dxfId="19" priority="2" operator="between">
      <formula>2</formula>
      <formula>2.99</formula>
    </cfRule>
    <cfRule type="cellIs" dxfId="18" priority="3" operator="between">
      <formula>1</formula>
      <formula>1.99</formula>
    </cfRule>
    <cfRule type="cellIs" dxfId="17" priority="4" operator="between">
      <formula>4</formula>
      <formula>5</formula>
    </cfRule>
  </conditionalFormatting>
  <conditionalFormatting sqref="C3:I9">
    <cfRule type="cellIs" dxfId="16" priority="5" operator="between">
      <formula>3</formula>
      <formula>3.99</formula>
    </cfRule>
    <cfRule type="cellIs" dxfId="15" priority="6" operator="between">
      <formula>2</formula>
      <formula>2.99</formula>
    </cfRule>
    <cfRule type="cellIs" dxfId="14" priority="7" operator="between">
      <formula>1</formula>
      <formula>1.99</formula>
    </cfRule>
  </conditionalFormatting>
  <conditionalFormatting sqref="I3:I9">
    <cfRule type="cellIs" dxfId="13" priority="8" operator="between">
      <formula>3</formula>
      <formula>4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baseColWidth="10" defaultColWidth="14.42578125" defaultRowHeight="15" customHeight="1" x14ac:dyDescent="0.2"/>
  <cols>
    <col min="1" max="1" width="9.140625" customWidth="1"/>
    <col min="2" max="2" width="26.7109375" customWidth="1"/>
    <col min="3" max="3" width="46" customWidth="1"/>
    <col min="5" max="5" width="42.42578125" customWidth="1"/>
    <col min="6" max="26" width="8" customWidth="1"/>
  </cols>
  <sheetData>
    <row r="1" spans="1:5" ht="21.75" customHeight="1" x14ac:dyDescent="0.2">
      <c r="A1" s="11" t="s">
        <v>14</v>
      </c>
      <c r="B1" s="11" t="s">
        <v>36</v>
      </c>
      <c r="C1" s="11" t="s">
        <v>37</v>
      </c>
      <c r="D1" s="11" t="s">
        <v>38</v>
      </c>
      <c r="E1" s="11" t="s">
        <v>39</v>
      </c>
    </row>
    <row r="2" spans="1:5" ht="27" customHeight="1" x14ac:dyDescent="0.2">
      <c r="A2" s="21">
        <v>1</v>
      </c>
      <c r="B2" s="21" t="s">
        <v>40</v>
      </c>
      <c r="C2" s="21" t="s">
        <v>41</v>
      </c>
      <c r="D2" s="22" t="s">
        <v>14</v>
      </c>
      <c r="E2" s="23"/>
    </row>
    <row r="3" spans="1:5" ht="27" customHeight="1" x14ac:dyDescent="0.2">
      <c r="A3" s="21">
        <v>2</v>
      </c>
      <c r="B3" s="21" t="s">
        <v>42</v>
      </c>
      <c r="C3" s="21" t="s">
        <v>43</v>
      </c>
      <c r="D3" s="22" t="s">
        <v>44</v>
      </c>
      <c r="E3" s="23"/>
    </row>
    <row r="4" spans="1:5" ht="27" customHeight="1" x14ac:dyDescent="0.2">
      <c r="A4" s="21">
        <v>3</v>
      </c>
      <c r="B4" s="21" t="s">
        <v>45</v>
      </c>
      <c r="C4" s="21" t="s">
        <v>46</v>
      </c>
      <c r="D4" s="22" t="s">
        <v>44</v>
      </c>
      <c r="E4" s="23"/>
    </row>
    <row r="5" spans="1:5" ht="27" customHeight="1" x14ac:dyDescent="0.2">
      <c r="A5" s="21">
        <v>4</v>
      </c>
      <c r="B5" s="21" t="s">
        <v>47</v>
      </c>
      <c r="C5" s="21" t="s">
        <v>48</v>
      </c>
      <c r="D5" s="22" t="s">
        <v>44</v>
      </c>
      <c r="E5" s="23"/>
    </row>
    <row r="6" spans="1:5" ht="27" customHeight="1" x14ac:dyDescent="0.2">
      <c r="A6" s="21">
        <v>5</v>
      </c>
      <c r="B6" s="21" t="s">
        <v>49</v>
      </c>
      <c r="C6" s="21" t="s">
        <v>50</v>
      </c>
      <c r="D6" s="22" t="s">
        <v>44</v>
      </c>
      <c r="E6" s="23"/>
    </row>
    <row r="7" spans="1:5" ht="27" customHeight="1" x14ac:dyDescent="0.2">
      <c r="A7" s="21">
        <v>6</v>
      </c>
      <c r="B7" s="21" t="s">
        <v>51</v>
      </c>
      <c r="C7" s="21" t="s">
        <v>52</v>
      </c>
      <c r="D7" s="22" t="s">
        <v>44</v>
      </c>
      <c r="E7" s="23"/>
    </row>
    <row r="8" spans="1:5" ht="27" customHeight="1" x14ac:dyDescent="0.2">
      <c r="A8" s="21">
        <v>7</v>
      </c>
      <c r="B8" s="21" t="s">
        <v>53</v>
      </c>
      <c r="C8" s="21" t="s">
        <v>54</v>
      </c>
      <c r="D8" s="22" t="s">
        <v>44</v>
      </c>
      <c r="E8" s="23"/>
    </row>
    <row r="9" spans="1:5" ht="27" customHeight="1" x14ac:dyDescent="0.2">
      <c r="A9" s="21">
        <v>8</v>
      </c>
      <c r="B9" s="21" t="s">
        <v>55</v>
      </c>
      <c r="C9" s="21" t="s">
        <v>56</v>
      </c>
      <c r="D9" s="22" t="s">
        <v>44</v>
      </c>
      <c r="E9" s="24"/>
    </row>
    <row r="10" spans="1:5" ht="27" customHeight="1" x14ac:dyDescent="0.2">
      <c r="A10" s="21">
        <v>9</v>
      </c>
      <c r="B10" s="21" t="s">
        <v>57</v>
      </c>
      <c r="C10" s="21" t="s">
        <v>58</v>
      </c>
      <c r="D10" s="22" t="s">
        <v>14</v>
      </c>
      <c r="E10" s="23"/>
    </row>
    <row r="11" spans="1:5" ht="27" customHeight="1" x14ac:dyDescent="0.2">
      <c r="A11" s="21">
        <v>10</v>
      </c>
      <c r="B11" s="21" t="s">
        <v>59</v>
      </c>
      <c r="C11" s="21" t="s">
        <v>60</v>
      </c>
      <c r="D11" s="22" t="s">
        <v>44</v>
      </c>
      <c r="E11" s="23"/>
    </row>
    <row r="12" spans="1:5" ht="12.75" customHeight="1" x14ac:dyDescent="0.2"/>
    <row r="13" spans="1:5" ht="12.75" customHeight="1" x14ac:dyDescent="0.2"/>
    <row r="14" spans="1:5" ht="12.75" customHeight="1" x14ac:dyDescent="0.2"/>
    <row r="15" spans="1:5" ht="12.75" customHeight="1" x14ac:dyDescent="0.2"/>
    <row r="16" spans="1:5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conditionalFormatting sqref="A2:C11">
    <cfRule type="expression" dxfId="12" priority="1">
      <formula>$B$38</formula>
    </cfRule>
  </conditionalFormatting>
  <conditionalFormatting sqref="D2:D11">
    <cfRule type="cellIs" dxfId="11" priority="3" operator="equal">
      <formula>"_"</formula>
    </cfRule>
    <cfRule type="cellIs" dxfId="10" priority="4" operator="equal">
      <formula>"N"</formula>
    </cfRule>
    <cfRule type="cellIs" dxfId="9" priority="5" operator="equal">
      <formula>"O"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002"/>
  <sheetViews>
    <sheetView tabSelected="1" workbookViewId="0">
      <selection activeCell="K9" sqref="K9"/>
    </sheetView>
  </sheetViews>
  <sheetFormatPr baseColWidth="10" defaultColWidth="14.42578125" defaultRowHeight="15" customHeight="1" x14ac:dyDescent="0.2"/>
  <cols>
    <col min="1" max="1" width="2.140625" customWidth="1"/>
    <col min="2" max="2" width="3.42578125" customWidth="1"/>
    <col min="3" max="3" width="16.7109375" customWidth="1"/>
    <col min="4" max="4" width="19.85546875" customWidth="1"/>
    <col min="5" max="5" width="25.42578125" customWidth="1"/>
    <col min="6" max="6" width="19" customWidth="1"/>
    <col min="7" max="8" width="23.42578125" customWidth="1"/>
    <col min="9" max="9" width="10.140625" customWidth="1"/>
    <col min="10" max="29" width="8" customWidth="1"/>
  </cols>
  <sheetData>
    <row r="1" spans="2:9" ht="15.75" customHeight="1" x14ac:dyDescent="0.25">
      <c r="B1" s="8"/>
      <c r="C1" s="8"/>
      <c r="D1" s="8"/>
      <c r="E1" s="8"/>
      <c r="F1" s="8"/>
      <c r="G1" s="8"/>
      <c r="H1" s="8"/>
      <c r="I1" s="25"/>
    </row>
    <row r="2" spans="2:9" ht="15.75" customHeight="1" x14ac:dyDescent="0.2">
      <c r="B2" s="11" t="s">
        <v>14</v>
      </c>
      <c r="C2" s="11" t="s">
        <v>61</v>
      </c>
      <c r="D2" s="11" t="s">
        <v>36</v>
      </c>
      <c r="E2" s="11" t="s">
        <v>62</v>
      </c>
      <c r="F2" s="11" t="s">
        <v>142</v>
      </c>
      <c r="G2" s="11" t="s">
        <v>143</v>
      </c>
      <c r="H2" s="11" t="s">
        <v>144</v>
      </c>
      <c r="I2" s="11" t="s">
        <v>63</v>
      </c>
    </row>
    <row r="3" spans="2:9" ht="38.25" customHeight="1" x14ac:dyDescent="0.2">
      <c r="B3" s="13">
        <v>1</v>
      </c>
      <c r="C3" s="26" t="s">
        <v>64</v>
      </c>
      <c r="D3" s="14" t="s">
        <v>40</v>
      </c>
      <c r="E3" s="14" t="s">
        <v>65</v>
      </c>
      <c r="F3" s="14" t="s">
        <v>66</v>
      </c>
      <c r="G3" s="14" t="s">
        <v>67</v>
      </c>
      <c r="H3" s="14" t="s">
        <v>153</v>
      </c>
      <c r="I3" s="15">
        <v>2</v>
      </c>
    </row>
    <row r="4" spans="2:9" ht="38.25" customHeight="1" x14ac:dyDescent="0.2">
      <c r="B4" s="13">
        <v>2</v>
      </c>
      <c r="C4" s="26" t="s">
        <v>64</v>
      </c>
      <c r="D4" s="14" t="s">
        <v>42</v>
      </c>
      <c r="E4" s="14" t="s">
        <v>68</v>
      </c>
      <c r="F4" s="14" t="s">
        <v>69</v>
      </c>
      <c r="G4" s="14" t="s">
        <v>70</v>
      </c>
      <c r="H4" s="14" t="s">
        <v>153</v>
      </c>
      <c r="I4" s="15">
        <v>5</v>
      </c>
    </row>
    <row r="5" spans="2:9" ht="38.25" customHeight="1" x14ac:dyDescent="0.2">
      <c r="B5" s="13">
        <v>3</v>
      </c>
      <c r="C5" s="26" t="s">
        <v>64</v>
      </c>
      <c r="D5" s="14" t="s">
        <v>71</v>
      </c>
      <c r="E5" s="14" t="s">
        <v>72</v>
      </c>
      <c r="F5" s="14" t="s">
        <v>73</v>
      </c>
      <c r="G5" s="14" t="s">
        <v>74</v>
      </c>
      <c r="H5" s="14" t="s">
        <v>153</v>
      </c>
      <c r="I5" s="15">
        <v>2.5</v>
      </c>
    </row>
    <row r="6" spans="2:9" ht="38.25" customHeight="1" x14ac:dyDescent="0.2">
      <c r="B6" s="13">
        <v>4</v>
      </c>
      <c r="C6" s="26" t="s">
        <v>64</v>
      </c>
      <c r="D6" s="14" t="s">
        <v>47</v>
      </c>
      <c r="E6" s="14" t="s">
        <v>75</v>
      </c>
      <c r="F6" s="14" t="s">
        <v>76</v>
      </c>
      <c r="G6" s="14" t="s">
        <v>77</v>
      </c>
      <c r="H6" s="14" t="s">
        <v>153</v>
      </c>
      <c r="I6" s="15">
        <v>1.7</v>
      </c>
    </row>
    <row r="7" spans="2:9" ht="38.25" customHeight="1" x14ac:dyDescent="0.2">
      <c r="B7" s="13">
        <v>5</v>
      </c>
      <c r="C7" s="26" t="s">
        <v>64</v>
      </c>
      <c r="D7" s="14" t="s">
        <v>78</v>
      </c>
      <c r="E7" s="14" t="s">
        <v>79</v>
      </c>
      <c r="F7" s="14" t="s">
        <v>80</v>
      </c>
      <c r="G7" s="14" t="s">
        <v>81</v>
      </c>
      <c r="H7" s="14" t="s">
        <v>147</v>
      </c>
      <c r="I7" s="15">
        <v>1.7</v>
      </c>
    </row>
    <row r="8" spans="2:9" ht="38.25" customHeight="1" x14ac:dyDescent="0.2">
      <c r="B8" s="13">
        <v>6</v>
      </c>
      <c r="C8" s="26" t="s">
        <v>64</v>
      </c>
      <c r="D8" s="14" t="s">
        <v>82</v>
      </c>
      <c r="E8" s="14" t="s">
        <v>83</v>
      </c>
      <c r="F8" s="14" t="s">
        <v>84</v>
      </c>
      <c r="G8" s="14" t="s">
        <v>85</v>
      </c>
      <c r="H8" s="14" t="s">
        <v>148</v>
      </c>
      <c r="I8" s="15">
        <v>1.7</v>
      </c>
    </row>
    <row r="9" spans="2:9" ht="38.25" customHeight="1" x14ac:dyDescent="0.2">
      <c r="B9" s="13">
        <v>7</v>
      </c>
      <c r="C9" s="27" t="s">
        <v>86</v>
      </c>
      <c r="D9" s="14" t="s">
        <v>49</v>
      </c>
      <c r="E9" s="14" t="s">
        <v>87</v>
      </c>
      <c r="F9" s="14" t="s">
        <v>88</v>
      </c>
      <c r="G9" s="14" t="s">
        <v>89</v>
      </c>
      <c r="H9" s="14" t="s">
        <v>145</v>
      </c>
      <c r="I9" s="15">
        <v>2.5</v>
      </c>
    </row>
    <row r="10" spans="2:9" ht="38.25" customHeight="1" x14ac:dyDescent="0.2">
      <c r="B10" s="13">
        <v>8</v>
      </c>
      <c r="C10" s="27" t="s">
        <v>86</v>
      </c>
      <c r="D10" s="14" t="s">
        <v>51</v>
      </c>
      <c r="E10" s="14" t="s">
        <v>90</v>
      </c>
      <c r="F10" s="14" t="s">
        <v>91</v>
      </c>
      <c r="G10" s="14" t="s">
        <v>92</v>
      </c>
      <c r="H10" s="14" t="s">
        <v>153</v>
      </c>
      <c r="I10" s="15">
        <v>1.7</v>
      </c>
    </row>
    <row r="11" spans="2:9" ht="38.25" customHeight="1" x14ac:dyDescent="0.2">
      <c r="B11" s="13">
        <v>9</v>
      </c>
      <c r="C11" s="27" t="s">
        <v>86</v>
      </c>
      <c r="D11" s="14" t="s">
        <v>53</v>
      </c>
      <c r="E11" s="14" t="s">
        <v>146</v>
      </c>
      <c r="F11" s="14" t="s">
        <v>93</v>
      </c>
      <c r="G11" s="14" t="s">
        <v>94</v>
      </c>
      <c r="H11" s="14" t="s">
        <v>149</v>
      </c>
      <c r="I11" s="15">
        <v>4</v>
      </c>
    </row>
    <row r="12" spans="2:9" ht="38.25" customHeight="1" x14ac:dyDescent="0.2">
      <c r="B12" s="13">
        <v>10</v>
      </c>
      <c r="C12" s="28" t="s">
        <v>95</v>
      </c>
      <c r="D12" s="14" t="s">
        <v>55</v>
      </c>
      <c r="E12" s="14" t="s">
        <v>96</v>
      </c>
      <c r="F12" s="14" t="s">
        <v>97</v>
      </c>
      <c r="G12" s="14" t="s">
        <v>98</v>
      </c>
      <c r="H12" s="14" t="s">
        <v>152</v>
      </c>
      <c r="I12" s="15">
        <v>1.7</v>
      </c>
    </row>
    <row r="13" spans="2:9" ht="38.25" customHeight="1" x14ac:dyDescent="0.2">
      <c r="B13" s="13">
        <v>11</v>
      </c>
      <c r="C13" s="28" t="s">
        <v>95</v>
      </c>
      <c r="D13" s="14" t="s">
        <v>57</v>
      </c>
      <c r="E13" s="14" t="s">
        <v>99</v>
      </c>
      <c r="F13" s="14" t="s">
        <v>100</v>
      </c>
      <c r="G13" s="14" t="s">
        <v>101</v>
      </c>
      <c r="H13" s="14" t="s">
        <v>151</v>
      </c>
      <c r="I13" s="15">
        <v>2.5</v>
      </c>
    </row>
    <row r="14" spans="2:9" ht="38.25" customHeight="1" x14ac:dyDescent="0.2">
      <c r="B14" s="13">
        <v>12</v>
      </c>
      <c r="C14" s="28" t="s">
        <v>95</v>
      </c>
      <c r="D14" s="14" t="s">
        <v>59</v>
      </c>
      <c r="E14" s="14" t="s">
        <v>102</v>
      </c>
      <c r="F14" s="14" t="s">
        <v>103</v>
      </c>
      <c r="G14" s="14" t="s">
        <v>104</v>
      </c>
      <c r="H14" s="14" t="s">
        <v>150</v>
      </c>
      <c r="I14" s="15">
        <v>2.5</v>
      </c>
    </row>
    <row r="15" spans="2:9" ht="38.25" customHeight="1" x14ac:dyDescent="0.2">
      <c r="B15" s="17"/>
      <c r="C15" s="17"/>
      <c r="D15" s="17"/>
      <c r="E15" s="17"/>
      <c r="F15" s="17"/>
      <c r="G15" s="17"/>
      <c r="H15" s="17"/>
      <c r="I15" s="16">
        <f>AVERAGE(I3:I14)</f>
        <v>2.458333333333333</v>
      </c>
    </row>
    <row r="16" spans="2:9" ht="12.75" customHeight="1" x14ac:dyDescent="0.2">
      <c r="B16" s="9"/>
      <c r="C16" s="9"/>
      <c r="D16" s="9"/>
      <c r="E16" s="9"/>
      <c r="F16" s="9"/>
      <c r="G16" s="9"/>
      <c r="H16" s="9"/>
      <c r="I16" s="9"/>
    </row>
    <row r="17" spans="2:9" ht="12.75" customHeight="1" x14ac:dyDescent="0.2">
      <c r="B17" s="9"/>
      <c r="C17" s="9"/>
      <c r="D17" s="9"/>
      <c r="E17" s="9"/>
      <c r="F17" s="9"/>
      <c r="G17" s="9"/>
      <c r="H17" s="9"/>
      <c r="I17" s="9"/>
    </row>
    <row r="18" spans="2:9" ht="15" customHeight="1" x14ac:dyDescent="0.2">
      <c r="B18" s="1" t="s">
        <v>13</v>
      </c>
      <c r="C18" s="10" t="s">
        <v>1</v>
      </c>
      <c r="D18" s="18"/>
      <c r="E18" s="18"/>
      <c r="F18" s="18"/>
      <c r="G18" s="18"/>
      <c r="H18" s="18"/>
    </row>
    <row r="19" spans="2:9" ht="15" customHeight="1" x14ac:dyDescent="0.2">
      <c r="B19" s="2" t="s">
        <v>22</v>
      </c>
      <c r="C19" s="12" t="s">
        <v>3</v>
      </c>
      <c r="D19" s="20"/>
      <c r="E19" s="20"/>
      <c r="F19" s="20"/>
      <c r="G19" s="20"/>
      <c r="H19" s="20"/>
    </row>
    <row r="20" spans="2:9" ht="15" customHeight="1" x14ac:dyDescent="0.2">
      <c r="B20" s="4" t="s">
        <v>24</v>
      </c>
      <c r="C20" s="12" t="s">
        <v>5</v>
      </c>
      <c r="D20" s="20"/>
      <c r="E20" s="20"/>
      <c r="F20" s="20"/>
      <c r="G20" s="20"/>
      <c r="H20" s="20"/>
    </row>
    <row r="21" spans="2:9" ht="15" customHeight="1" x14ac:dyDescent="0.2">
      <c r="B21" s="5" t="s">
        <v>26</v>
      </c>
      <c r="C21" s="12" t="s">
        <v>7</v>
      </c>
      <c r="D21" s="20"/>
      <c r="E21" s="20"/>
      <c r="F21" s="20"/>
      <c r="G21" s="20"/>
      <c r="H21" s="20"/>
    </row>
    <row r="22" spans="2:9" ht="15" customHeight="1" x14ac:dyDescent="0.2">
      <c r="B22" s="6" t="s">
        <v>28</v>
      </c>
      <c r="C22" s="12" t="s">
        <v>105</v>
      </c>
      <c r="D22" s="20"/>
      <c r="E22" s="20"/>
      <c r="F22" s="20"/>
      <c r="G22" s="20"/>
      <c r="H22" s="20"/>
    </row>
    <row r="23" spans="2:9" ht="15" customHeight="1" x14ac:dyDescent="0.2">
      <c r="B23" s="7" t="s">
        <v>30</v>
      </c>
      <c r="C23" s="12" t="s">
        <v>31</v>
      </c>
      <c r="D23" s="20"/>
      <c r="E23" s="20"/>
      <c r="F23" s="20"/>
      <c r="G23" s="20"/>
      <c r="H23" s="20"/>
    </row>
    <row r="24" spans="2:9" ht="12.75" customHeight="1" x14ac:dyDescent="0.2"/>
    <row r="25" spans="2:9" ht="12.75" customHeight="1" x14ac:dyDescent="0.2"/>
    <row r="26" spans="2:9" ht="12.75" customHeight="1" x14ac:dyDescent="0.2"/>
    <row r="27" spans="2:9" ht="12.75" customHeight="1" x14ac:dyDescent="0.2"/>
    <row r="28" spans="2:9" ht="12.75" customHeight="1" x14ac:dyDescent="0.2"/>
    <row r="29" spans="2:9" ht="12.75" customHeight="1" x14ac:dyDescent="0.2"/>
    <row r="30" spans="2:9" ht="12.75" customHeight="1" x14ac:dyDescent="0.2"/>
    <row r="31" spans="2:9" ht="12.75" customHeight="1" x14ac:dyDescent="0.2"/>
    <row r="32" spans="2:9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</sheetData>
  <conditionalFormatting sqref="D3:H14">
    <cfRule type="expression" dxfId="8" priority="5">
      <formula>$B$40</formula>
    </cfRule>
  </conditionalFormatting>
  <conditionalFormatting sqref="I3:I15">
    <cfRule type="cellIs" dxfId="7" priority="1" operator="between">
      <formula>3</formula>
      <formula>3.99</formula>
    </cfRule>
    <cfRule type="cellIs" dxfId="6" priority="2" operator="between">
      <formula>2</formula>
      <formula>2.99</formula>
    </cfRule>
    <cfRule type="cellIs" dxfId="5" priority="3" operator="between">
      <formula>1</formula>
      <formula>1.99</formula>
    </cfRule>
    <cfRule type="cellIs" dxfId="4" priority="4" operator="between">
      <formula>4</formula>
      <formula>5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000"/>
  <sheetViews>
    <sheetView workbookViewId="0"/>
  </sheetViews>
  <sheetFormatPr baseColWidth="10" defaultColWidth="14.42578125" defaultRowHeight="15" customHeight="1" x14ac:dyDescent="0.2"/>
  <cols>
    <col min="1" max="1" width="8" customWidth="1"/>
    <col min="2" max="2" width="4.5703125" customWidth="1"/>
    <col min="3" max="3" width="29.28515625" customWidth="1"/>
    <col min="4" max="4" width="38.7109375" customWidth="1"/>
    <col min="5" max="5" width="23.42578125" customWidth="1"/>
    <col min="6" max="26" width="8" customWidth="1"/>
  </cols>
  <sheetData>
    <row r="1" spans="2:5" ht="12.75" customHeight="1" x14ac:dyDescent="0.2"/>
    <row r="2" spans="2:5" ht="12.75" customHeight="1" x14ac:dyDescent="0.2">
      <c r="B2" s="29" t="s">
        <v>14</v>
      </c>
      <c r="C2" s="30" t="s">
        <v>61</v>
      </c>
      <c r="D2" s="30" t="s">
        <v>106</v>
      </c>
      <c r="E2" s="30" t="s">
        <v>107</v>
      </c>
    </row>
    <row r="3" spans="2:5" ht="12.75" customHeight="1" x14ac:dyDescent="0.2">
      <c r="B3" s="31">
        <v>1</v>
      </c>
      <c r="C3" s="31" t="s">
        <v>108</v>
      </c>
      <c r="D3" s="32" t="s">
        <v>109</v>
      </c>
      <c r="E3" s="15">
        <v>1</v>
      </c>
    </row>
    <row r="4" spans="2:5" ht="12.75" customHeight="1" x14ac:dyDescent="0.2">
      <c r="B4" s="31">
        <v>2</v>
      </c>
      <c r="C4" s="31" t="s">
        <v>108</v>
      </c>
      <c r="D4" s="32" t="s">
        <v>110</v>
      </c>
      <c r="E4" s="15">
        <v>2</v>
      </c>
    </row>
    <row r="5" spans="2:5" ht="12.75" customHeight="1" x14ac:dyDescent="0.2">
      <c r="B5" s="31">
        <v>3</v>
      </c>
      <c r="C5" s="31" t="s">
        <v>111</v>
      </c>
      <c r="D5" s="32" t="s">
        <v>112</v>
      </c>
      <c r="E5" s="15">
        <v>3</v>
      </c>
    </row>
    <row r="6" spans="2:5" ht="12.75" customHeight="1" x14ac:dyDescent="0.2">
      <c r="B6" s="31">
        <v>4</v>
      </c>
      <c r="C6" s="31" t="s">
        <v>113</v>
      </c>
      <c r="D6" s="32" t="s">
        <v>114</v>
      </c>
      <c r="E6" s="15">
        <v>4</v>
      </c>
    </row>
    <row r="7" spans="2:5" ht="12.75" customHeight="1" x14ac:dyDescent="0.2">
      <c r="B7" s="31">
        <v>5</v>
      </c>
      <c r="C7" s="31" t="s">
        <v>111</v>
      </c>
      <c r="D7" s="32" t="s">
        <v>115</v>
      </c>
      <c r="E7" s="15">
        <v>5</v>
      </c>
    </row>
    <row r="8" spans="2:5" ht="12.75" customHeight="1" x14ac:dyDescent="0.2">
      <c r="B8" s="31">
        <v>6</v>
      </c>
      <c r="C8" s="31" t="s">
        <v>116</v>
      </c>
      <c r="D8" s="32" t="s">
        <v>117</v>
      </c>
      <c r="E8" s="15">
        <v>2.5</v>
      </c>
    </row>
    <row r="9" spans="2:5" ht="12.75" customHeight="1" x14ac:dyDescent="0.2">
      <c r="B9" s="31">
        <v>7</v>
      </c>
      <c r="C9" s="31" t="s">
        <v>118</v>
      </c>
      <c r="D9" s="32" t="s">
        <v>119</v>
      </c>
      <c r="E9" s="15">
        <v>3.5</v>
      </c>
    </row>
    <row r="10" spans="2:5" ht="12.75" customHeight="1" x14ac:dyDescent="0.2">
      <c r="B10" s="31">
        <v>8</v>
      </c>
      <c r="C10" s="31" t="s">
        <v>120</v>
      </c>
      <c r="D10" s="32" t="s">
        <v>121</v>
      </c>
      <c r="E10" s="15">
        <v>5</v>
      </c>
    </row>
    <row r="11" spans="2:5" ht="12.75" customHeight="1" x14ac:dyDescent="0.2">
      <c r="B11" s="31">
        <v>9</v>
      </c>
      <c r="C11" s="31" t="s">
        <v>122</v>
      </c>
      <c r="D11" s="32" t="s">
        <v>123</v>
      </c>
      <c r="E11" s="15">
        <v>0.8</v>
      </c>
    </row>
    <row r="12" spans="2:5" ht="12.75" customHeight="1" x14ac:dyDescent="0.2">
      <c r="B12" s="31">
        <v>10</v>
      </c>
      <c r="C12" s="31" t="s">
        <v>124</v>
      </c>
      <c r="D12" s="32" t="s">
        <v>125</v>
      </c>
      <c r="E12" s="15">
        <v>0.8</v>
      </c>
    </row>
    <row r="13" spans="2:5" ht="12.75" customHeight="1" x14ac:dyDescent="0.2">
      <c r="B13" s="31">
        <v>11</v>
      </c>
      <c r="C13" s="31" t="s">
        <v>126</v>
      </c>
      <c r="D13" s="32" t="s">
        <v>127</v>
      </c>
      <c r="E13" s="15">
        <v>1.8</v>
      </c>
    </row>
    <row r="14" spans="2:5" ht="12.75" customHeight="1" x14ac:dyDescent="0.2">
      <c r="B14" s="31">
        <v>12</v>
      </c>
      <c r="C14" s="31" t="s">
        <v>122</v>
      </c>
      <c r="D14" s="32" t="s">
        <v>128</v>
      </c>
      <c r="E14" s="15">
        <v>1.8</v>
      </c>
    </row>
    <row r="15" spans="2:5" ht="12.75" customHeight="1" x14ac:dyDescent="0.2">
      <c r="B15" s="31">
        <v>13</v>
      </c>
      <c r="C15" s="31" t="s">
        <v>111</v>
      </c>
      <c r="D15" s="32" t="s">
        <v>129</v>
      </c>
      <c r="E15" s="15">
        <v>2.9</v>
      </c>
    </row>
    <row r="16" spans="2:5" ht="12.75" customHeight="1" x14ac:dyDescent="0.2">
      <c r="B16" s="31">
        <v>14</v>
      </c>
      <c r="C16" s="31" t="s">
        <v>111</v>
      </c>
      <c r="D16" s="32" t="s">
        <v>130</v>
      </c>
      <c r="E16" s="15">
        <v>1.8</v>
      </c>
    </row>
    <row r="17" spans="2:5" ht="12.75" customHeight="1" x14ac:dyDescent="0.2">
      <c r="B17" s="31">
        <v>15</v>
      </c>
      <c r="C17" s="31" t="s">
        <v>131</v>
      </c>
      <c r="D17" s="32" t="s">
        <v>132</v>
      </c>
      <c r="E17" s="15">
        <v>3.5</v>
      </c>
    </row>
    <row r="18" spans="2:5" ht="12.75" customHeight="1" x14ac:dyDescent="0.2">
      <c r="B18" s="31">
        <v>16</v>
      </c>
      <c r="C18" s="31" t="s">
        <v>133</v>
      </c>
      <c r="D18" s="32" t="s">
        <v>134</v>
      </c>
      <c r="E18" s="15">
        <v>2.8</v>
      </c>
    </row>
    <row r="19" spans="2:5" ht="12.75" customHeight="1" x14ac:dyDescent="0.2">
      <c r="B19" s="31">
        <v>17</v>
      </c>
      <c r="C19" s="31" t="s">
        <v>135</v>
      </c>
      <c r="D19" s="32" t="s">
        <v>136</v>
      </c>
      <c r="E19" s="15">
        <v>1.8</v>
      </c>
    </row>
    <row r="20" spans="2:5" ht="12.75" customHeight="1" x14ac:dyDescent="0.2">
      <c r="B20" s="31">
        <v>18</v>
      </c>
      <c r="C20" s="31" t="s">
        <v>122</v>
      </c>
      <c r="D20" s="32" t="s">
        <v>137</v>
      </c>
      <c r="E20" s="15">
        <v>0.8</v>
      </c>
    </row>
    <row r="21" spans="2:5" ht="12.75" customHeight="1" x14ac:dyDescent="0.2">
      <c r="B21" s="31">
        <v>19</v>
      </c>
      <c r="C21" s="31" t="s">
        <v>138</v>
      </c>
      <c r="D21" s="32" t="s">
        <v>139</v>
      </c>
      <c r="E21" s="15">
        <v>1.8</v>
      </c>
    </row>
    <row r="22" spans="2:5" ht="12.75" customHeight="1" x14ac:dyDescent="0.2">
      <c r="B22" s="31">
        <v>20</v>
      </c>
      <c r="C22" s="31" t="s">
        <v>140</v>
      </c>
      <c r="D22" s="32" t="s">
        <v>141</v>
      </c>
      <c r="E22" s="15">
        <v>3.5</v>
      </c>
    </row>
    <row r="23" spans="2:5" ht="13.5" customHeight="1" x14ac:dyDescent="0.2">
      <c r="B23" s="33"/>
      <c r="C23" s="33"/>
      <c r="D23" s="33"/>
      <c r="E23" s="16">
        <f>AVERAGE(E3:E22)</f>
        <v>2.5049999999999994</v>
      </c>
    </row>
    <row r="24" spans="2:5" ht="12.75" customHeight="1" x14ac:dyDescent="0.2"/>
    <row r="25" spans="2:5" ht="12.75" customHeight="1" x14ac:dyDescent="0.2"/>
    <row r="26" spans="2:5" ht="12.75" customHeight="1" x14ac:dyDescent="0.2"/>
    <row r="27" spans="2:5" ht="12.75" customHeight="1" x14ac:dyDescent="0.2"/>
    <row r="28" spans="2:5" ht="12.75" customHeight="1" x14ac:dyDescent="0.2"/>
    <row r="29" spans="2:5" ht="12.75" customHeight="1" x14ac:dyDescent="0.2"/>
    <row r="30" spans="2:5" ht="12.75" customHeight="1" x14ac:dyDescent="0.2"/>
    <row r="31" spans="2:5" ht="12.75" customHeight="1" x14ac:dyDescent="0.2"/>
    <row r="32" spans="2:5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conditionalFormatting sqref="E3:E23">
    <cfRule type="cellIs" dxfId="3" priority="1" operator="between">
      <formula>3</formula>
      <formula>3.99</formula>
    </cfRule>
    <cfRule type="cellIs" dxfId="2" priority="2" operator="between">
      <formula>2</formula>
      <formula>2.99</formula>
    </cfRule>
    <cfRule type="cellIs" dxfId="1" priority="3" operator="between">
      <formula>1</formula>
      <formula>1.99</formula>
    </cfRule>
    <cfRule type="cellIs" dxfId="0" priority="4" operator="between">
      <formula>4</formula>
      <formula>5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echelle</vt:lpstr>
      <vt:lpstr>hosts</vt:lpstr>
      <vt:lpstr>procs1</vt:lpstr>
      <vt:lpstr>procs2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thomas auguey</cp:lastModifiedBy>
  <dcterms:created xsi:type="dcterms:W3CDTF">2017-10-30T14:27:31Z</dcterms:created>
  <dcterms:modified xsi:type="dcterms:W3CDTF">2025-01-22T15:36:22Z</dcterms:modified>
</cp:coreProperties>
</file>